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marietta/Library/Mobile Documents/com~apple~CloudDocs/admin/first_job/"/>
    </mc:Choice>
  </mc:AlternateContent>
  <xr:revisionPtr revIDLastSave="0" documentId="13_ncr:1_{9AD84FF5-1211-4245-8F0E-2E369896BD75}" xr6:coauthVersionLast="47" xr6:coauthVersionMax="47" xr10:uidLastSave="{00000000-0000-0000-0000-000000000000}"/>
  <bookViews>
    <workbookView xWindow="14900" yWindow="660" windowWidth="14500" windowHeight="18460" activeTab="1" xr2:uid="{E4B95A87-7EAB-AE4E-AAAB-57688066961D}"/>
  </bookViews>
  <sheets>
    <sheet name="CURRENT_ROSTER" sheetId="1" r:id="rId1"/>
    <sheet name="FREE_AG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<sst xmlns="http://schemas.openxmlformats.org/spreadsheetml/2006/main" count="197" uniqueCount="111">
  <si>
    <t>Name</t>
  </si>
  <si>
    <t>Age</t>
  </si>
  <si>
    <t>Yrs</t>
  </si>
  <si>
    <t>Acquired</t>
  </si>
  <si>
    <t>SrvTm</t>
  </si>
  <si>
    <t>Contract Status</t>
  </si>
  <si>
    <t>Free Agency</t>
  </si>
  <si>
    <t>FA</t>
  </si>
  <si>
    <t>Arb</t>
  </si>
  <si>
    <t>Jameson Taillon</t>
  </si>
  <si>
    <t>4 yrs/$68M (23-26)</t>
  </si>
  <si>
    <t>$18M</t>
  </si>
  <si>
    <t>Amateur Draft</t>
  </si>
  <si>
    <t>Matthew Boyd</t>
  </si>
  <si>
    <t>2 yrs/$29M (25-26) &amp; 27 mutual option</t>
  </si>
  <si>
    <t>$17M</t>
  </si>
  <si>
    <t>$2M [FA-*]</t>
  </si>
  <si>
    <t>Shota Imanaga</t>
  </si>
  <si>
    <t>1 yr/$22.03M (26)</t>
  </si>
  <si>
    <t>$22.02M</t>
  </si>
  <si>
    <t>Phil Maton</t>
  </si>
  <si>
    <t>2 yrs/$14.5M (26-27) &amp; 28 team option</t>
  </si>
  <si>
    <t>$5.5M</t>
  </si>
  <si>
    <t>$6M</t>
  </si>
  <si>
    <t>$3M [FA-*]</t>
  </si>
  <si>
    <t>Hunter Harvey</t>
  </si>
  <si>
    <t>1 yr/$6M (26)</t>
  </si>
  <si>
    <t>Caleb Thielbar</t>
  </si>
  <si>
    <t>1 yr/$4.5M (26) &amp; 27 mutual option</t>
  </si>
  <si>
    <t>$4M</t>
  </si>
  <si>
    <t>$500k [FA-*]</t>
  </si>
  <si>
    <t>Hoby Milner</t>
  </si>
  <si>
    <t>1 yr/$3.75M (26)</t>
  </si>
  <si>
    <t>$3.75M</t>
  </si>
  <si>
    <t>Jacob Webb</t>
  </si>
  <si>
    <t>1 yr/$1.5M (26) &amp; 27 team option</t>
  </si>
  <si>
    <t>$1.5M</t>
  </si>
  <si>
    <t>$0 [FA-*]</t>
  </si>
  <si>
    <t>Colin Rea</t>
  </si>
  <si>
    <t>Arb-3</t>
  </si>
  <si>
    <t>Justin Steele</t>
  </si>
  <si>
    <t>Arb-2 (~$6.55M)</t>
  </si>
  <si>
    <t>Edward Cabrera</t>
  </si>
  <si>
    <t>Arb-1 (~$3.7M)</t>
  </si>
  <si>
    <t>Arb-2</t>
  </si>
  <si>
    <t>Javier Assad</t>
  </si>
  <si>
    <t>Arb-1 (~$1.9M)</t>
  </si>
  <si>
    <t>Ethan Roberts</t>
  </si>
  <si>
    <t>Pre-Arb-3</t>
  </si>
  <si>
    <t>Arb-1</t>
  </si>
  <si>
    <t>1st</t>
  </si>
  <si>
    <t>Traded</t>
  </si>
  <si>
    <t>Pre-Arb-2</t>
  </si>
  <si>
    <t>Arb-4</t>
  </si>
  <si>
    <t>Ben Brown</t>
  </si>
  <si>
    <t>Daniel Palencia</t>
  </si>
  <si>
    <t>Porter Hodge</t>
  </si>
  <si>
    <t>Jordan Wicks</t>
  </si>
  <si>
    <t>Luke Little</t>
  </si>
  <si>
    <t>Pre-Arb</t>
  </si>
  <si>
    <t>Cade Horton</t>
  </si>
  <si>
    <t>Gavin Hollowell</t>
  </si>
  <si>
    <t>Waivers</t>
  </si>
  <si>
    <t>Jack Neely</t>
  </si>
  <si>
    <t>Player</t>
  </si>
  <si>
    <t>From</t>
  </si>
  <si>
    <t>To</t>
  </si>
  <si>
    <t>W</t>
  </si>
  <si>
    <t>L</t>
  </si>
  <si>
    <t>W-L%</t>
  </si>
  <si>
    <t>ERA</t>
  </si>
  <si>
    <t>G</t>
  </si>
  <si>
    <t>GS</t>
  </si>
  <si>
    <t>GF</t>
  </si>
  <si>
    <t>CG</t>
  </si>
  <si>
    <t>SHO</t>
  </si>
  <si>
    <t>SV</t>
  </si>
  <si>
    <t>IP</t>
  </si>
  <si>
    <t>H</t>
  </si>
  <si>
    <t>R</t>
  </si>
  <si>
    <t>ER</t>
  </si>
  <si>
    <t>HR</t>
  </si>
  <si>
    <t>BB</t>
  </si>
  <si>
    <t>IBB</t>
  </si>
  <si>
    <t>SO</t>
  </si>
  <si>
    <t>HBP</t>
  </si>
  <si>
    <t>BK</t>
  </si>
  <si>
    <t>WP</t>
  </si>
  <si>
    <t>BF</t>
  </si>
  <si>
    <t>BR</t>
  </si>
  <si>
    <t>ERA+</t>
  </si>
  <si>
    <t>FIP</t>
  </si>
  <si>
    <t>WHIP</t>
  </si>
  <si>
    <t>H9</t>
  </si>
  <si>
    <t>HR9</t>
  </si>
  <si>
    <t>BB9</t>
  </si>
  <si>
    <t>SO9</t>
  </si>
  <si>
    <t>Kris Bubic</t>
  </si>
  <si>
    <t>Jesús Luzardo</t>
  </si>
  <si>
    <t>Dustin May</t>
  </si>
  <si>
    <t>Trevor Rogers</t>
  </si>
  <si>
    <t>Michael Soroka</t>
  </si>
  <si>
    <t>THISYR_SALARY</t>
  </si>
  <si>
    <t>TEAM</t>
  </si>
  <si>
    <t>Cubs</t>
  </si>
  <si>
    <t>Phillies</t>
  </si>
  <si>
    <t>Cardinals</t>
  </si>
  <si>
    <t>Orioles</t>
  </si>
  <si>
    <t>Diamondbacks</t>
  </si>
  <si>
    <t>Royals</t>
  </si>
  <si>
    <t>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</si>
</sst>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9BC2-DBD0-C142-A1B6-C613E17889BF}">
  <dimension ref="A1:K23"/>
  <sheetViews>
    <sheetView workbookViewId="0">
      <pane xSplit="1" topLeftCell="B1" activePane="topRight" state="frozen"/>
      <selection pane="topRight" activeCell="F26" sqref="F26"/>
    </sheetView>
  </sheetViews>
  <sheetFormatPr baseColWidth="10" defaultRowHeight="16" x14ac:dyDescent="0.2"/>
  <cols>
    <col min="1" max="1" width="15" bestFit="1" customWidth="1"/>
    <col min="6" max="6" width="32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2026</v>
      </c>
      <c r="H1">
        <v>2027</v>
      </c>
      <c r="I1">
        <v>2028</v>
      </c>
      <c r="J1">
        <v>2029</v>
      </c>
      <c r="K1">
        <v>2030</v>
      </c>
    </row>
    <row r="2" spans="1:11" x14ac:dyDescent="0.2">
      <c r="A2" t="s">
        <v>9</v>
      </c>
      <c r="B2">
        <v>34</v>
      </c>
      <c r="C2">
        <v>9</v>
      </c>
      <c r="D2" t="s">
        <v>6</v>
      </c>
      <c r="E2">
        <v>9.11</v>
      </c>
      <c r="F2" t="s">
        <v>10</v>
      </c>
      <c r="G2" t="s">
        <v>11</v>
      </c>
      <c r="H2" t="s">
        <v>7</v>
      </c>
    </row>
    <row r="3" spans="1:11" x14ac:dyDescent="0.2">
      <c r="A3" t="s">
        <v>13</v>
      </c>
      <c r="B3">
        <v>35</v>
      </c>
      <c r="C3">
        <v>11</v>
      </c>
      <c r="D3" t="s">
        <v>6</v>
      </c>
      <c r="E3">
        <v>9.0570000000000004</v>
      </c>
      <c r="F3" t="s">
        <v>14</v>
      </c>
      <c r="G3" t="s">
        <v>15</v>
      </c>
      <c r="H3" t="s">
        <v>16</v>
      </c>
      <c r="I3" t="s">
        <v>7</v>
      </c>
    </row>
    <row r="4" spans="1:11" x14ac:dyDescent="0.2">
      <c r="A4" t="s">
        <v>17</v>
      </c>
      <c r="B4">
        <v>32</v>
      </c>
      <c r="C4">
        <v>2</v>
      </c>
      <c r="D4" t="s">
        <v>6</v>
      </c>
      <c r="E4">
        <v>2</v>
      </c>
      <c r="F4" t="s">
        <v>18</v>
      </c>
      <c r="G4" t="s">
        <v>19</v>
      </c>
      <c r="H4" t="s">
        <v>8</v>
      </c>
      <c r="I4" t="s">
        <v>8</v>
      </c>
      <c r="J4" t="s">
        <v>8</v>
      </c>
      <c r="K4" t="s">
        <v>7</v>
      </c>
    </row>
    <row r="5" spans="1:11" x14ac:dyDescent="0.2">
      <c r="A5" t="s">
        <v>20</v>
      </c>
      <c r="B5">
        <v>33</v>
      </c>
      <c r="C5">
        <v>9</v>
      </c>
      <c r="E5">
        <v>8.0470000000000006</v>
      </c>
      <c r="F5" t="s">
        <v>21</v>
      </c>
      <c r="G5" t="s">
        <v>22</v>
      </c>
      <c r="H5" t="s">
        <v>23</v>
      </c>
      <c r="I5" t="s">
        <v>24</v>
      </c>
      <c r="J5" t="s">
        <v>7</v>
      </c>
    </row>
    <row r="6" spans="1:11" x14ac:dyDescent="0.2">
      <c r="A6" t="s">
        <v>25</v>
      </c>
      <c r="B6">
        <v>31</v>
      </c>
      <c r="C6">
        <v>7</v>
      </c>
      <c r="E6">
        <v>6.0469999999999997</v>
      </c>
      <c r="F6" t="s">
        <v>26</v>
      </c>
      <c r="G6" t="s">
        <v>23</v>
      </c>
      <c r="H6" t="s">
        <v>7</v>
      </c>
    </row>
    <row r="7" spans="1:11" x14ac:dyDescent="0.2">
      <c r="A7" t="s">
        <v>27</v>
      </c>
      <c r="B7">
        <v>39</v>
      </c>
      <c r="C7">
        <v>9</v>
      </c>
      <c r="D7" t="s">
        <v>6</v>
      </c>
      <c r="E7">
        <v>7.1310000000000002</v>
      </c>
      <c r="F7" t="s">
        <v>28</v>
      </c>
      <c r="G7" t="s">
        <v>29</v>
      </c>
      <c r="H7" t="s">
        <v>30</v>
      </c>
      <c r="I7" t="s">
        <v>7</v>
      </c>
    </row>
    <row r="8" spans="1:11" x14ac:dyDescent="0.2">
      <c r="A8" t="s">
        <v>31</v>
      </c>
      <c r="B8">
        <v>35</v>
      </c>
      <c r="C8">
        <v>9</v>
      </c>
      <c r="E8">
        <v>6.0679999999999996</v>
      </c>
      <c r="F8" t="s">
        <v>32</v>
      </c>
      <c r="G8" t="s">
        <v>33</v>
      </c>
      <c r="H8" t="s">
        <v>7</v>
      </c>
    </row>
    <row r="9" spans="1:11" x14ac:dyDescent="0.2">
      <c r="A9" t="s">
        <v>34</v>
      </c>
      <c r="B9">
        <v>32</v>
      </c>
      <c r="C9">
        <v>6</v>
      </c>
      <c r="E9">
        <v>5.0460000000000003</v>
      </c>
      <c r="F9" t="s">
        <v>35</v>
      </c>
      <c r="G9" t="s">
        <v>36</v>
      </c>
      <c r="H9" t="s">
        <v>37</v>
      </c>
      <c r="I9" t="s">
        <v>7</v>
      </c>
    </row>
    <row r="10" spans="1:11" x14ac:dyDescent="0.2">
      <c r="A10" t="s">
        <v>38</v>
      </c>
      <c r="B10">
        <v>35</v>
      </c>
      <c r="C10">
        <v>7</v>
      </c>
      <c r="D10" t="s">
        <v>6</v>
      </c>
      <c r="E10">
        <v>6.0570000000000004</v>
      </c>
      <c r="G10" t="s">
        <v>7</v>
      </c>
    </row>
    <row r="11" spans="1:11" x14ac:dyDescent="0.2">
      <c r="A11" t="s">
        <v>40</v>
      </c>
      <c r="B11">
        <v>30</v>
      </c>
      <c r="C11">
        <v>5</v>
      </c>
      <c r="D11" t="s">
        <v>12</v>
      </c>
      <c r="E11">
        <v>4.1429999999999998</v>
      </c>
      <c r="G11" t="s">
        <v>41</v>
      </c>
      <c r="H11" t="s">
        <v>39</v>
      </c>
      <c r="I11" t="s">
        <v>7</v>
      </c>
    </row>
    <row r="12" spans="1:11" x14ac:dyDescent="0.2">
      <c r="A12" t="s">
        <v>42</v>
      </c>
      <c r="B12">
        <v>28</v>
      </c>
      <c r="C12">
        <v>5</v>
      </c>
      <c r="E12">
        <v>3.1469999999999998</v>
      </c>
      <c r="G12" t="s">
        <v>43</v>
      </c>
      <c r="H12" t="s">
        <v>44</v>
      </c>
      <c r="I12" t="s">
        <v>39</v>
      </c>
      <c r="J12" t="s">
        <v>7</v>
      </c>
    </row>
    <row r="13" spans="1:11" x14ac:dyDescent="0.2">
      <c r="A13" t="s">
        <v>45</v>
      </c>
      <c r="B13">
        <v>28</v>
      </c>
      <c r="C13">
        <v>4</v>
      </c>
      <c r="D13" t="s">
        <v>6</v>
      </c>
      <c r="E13">
        <v>3.0270000000000001</v>
      </c>
      <c r="G13" t="s">
        <v>46</v>
      </c>
      <c r="H13" t="s">
        <v>44</v>
      </c>
      <c r="I13" t="s">
        <v>39</v>
      </c>
      <c r="J13" t="s">
        <v>7</v>
      </c>
    </row>
    <row r="14" spans="1:11" x14ac:dyDescent="0.2">
      <c r="A14" t="s">
        <v>47</v>
      </c>
      <c r="B14">
        <v>28</v>
      </c>
      <c r="C14">
        <v>3</v>
      </c>
      <c r="D14" t="s">
        <v>6</v>
      </c>
      <c r="E14">
        <v>2.1309999999999998</v>
      </c>
      <c r="G14" t="s">
        <v>48</v>
      </c>
      <c r="H14" t="s">
        <v>49</v>
      </c>
      <c r="I14" t="s">
        <v>44</v>
      </c>
      <c r="J14" t="s">
        <v>39</v>
      </c>
      <c r="K14" t="s">
        <v>7</v>
      </c>
    </row>
    <row r="15" spans="1:11" x14ac:dyDescent="0.2">
      <c r="A15" t="s">
        <v>54</v>
      </c>
      <c r="B15">
        <v>26</v>
      </c>
      <c r="C15">
        <v>2</v>
      </c>
      <c r="D15" t="s">
        <v>51</v>
      </c>
      <c r="E15">
        <v>1.169</v>
      </c>
      <c r="G15" t="s">
        <v>52</v>
      </c>
      <c r="H15" t="s">
        <v>49</v>
      </c>
      <c r="I15" t="s">
        <v>44</v>
      </c>
      <c r="J15" t="s">
        <v>39</v>
      </c>
      <c r="K15" t="s">
        <v>53</v>
      </c>
    </row>
    <row r="16" spans="1:11" x14ac:dyDescent="0.2">
      <c r="A16" t="s">
        <v>55</v>
      </c>
      <c r="B16">
        <v>26</v>
      </c>
      <c r="C16">
        <v>3</v>
      </c>
      <c r="D16" t="s">
        <v>51</v>
      </c>
      <c r="E16">
        <v>1.1539999999999999</v>
      </c>
      <c r="G16" t="s">
        <v>52</v>
      </c>
      <c r="H16" t="s">
        <v>49</v>
      </c>
      <c r="I16" t="s">
        <v>44</v>
      </c>
      <c r="J16" t="s">
        <v>39</v>
      </c>
      <c r="K16" t="s">
        <v>53</v>
      </c>
    </row>
    <row r="17" spans="1:11" x14ac:dyDescent="0.2">
      <c r="A17" t="s">
        <v>56</v>
      </c>
      <c r="B17">
        <v>25</v>
      </c>
      <c r="C17">
        <v>2</v>
      </c>
      <c r="D17" t="s">
        <v>12</v>
      </c>
      <c r="E17">
        <v>1.117</v>
      </c>
      <c r="G17" t="s">
        <v>52</v>
      </c>
      <c r="H17" t="s">
        <v>48</v>
      </c>
      <c r="I17" t="s">
        <v>49</v>
      </c>
      <c r="J17" t="s">
        <v>44</v>
      </c>
      <c r="K17" t="s">
        <v>39</v>
      </c>
    </row>
    <row r="18" spans="1:11" x14ac:dyDescent="0.2">
      <c r="A18" t="s">
        <v>57</v>
      </c>
      <c r="B18">
        <v>26</v>
      </c>
      <c r="C18">
        <v>3</v>
      </c>
      <c r="D18" t="s">
        <v>12</v>
      </c>
      <c r="E18">
        <v>1.07</v>
      </c>
      <c r="G18" t="s">
        <v>52</v>
      </c>
      <c r="H18" t="s">
        <v>48</v>
      </c>
      <c r="I18" t="s">
        <v>49</v>
      </c>
      <c r="J18" t="s">
        <v>44</v>
      </c>
      <c r="K18" t="s">
        <v>39</v>
      </c>
    </row>
    <row r="19" spans="1:11" x14ac:dyDescent="0.2">
      <c r="A19" t="s">
        <v>58</v>
      </c>
      <c r="B19">
        <v>25</v>
      </c>
      <c r="C19">
        <v>3</v>
      </c>
      <c r="D19" t="s">
        <v>12</v>
      </c>
      <c r="E19">
        <v>1.024</v>
      </c>
      <c r="G19" t="s">
        <v>52</v>
      </c>
      <c r="H19" t="s">
        <v>48</v>
      </c>
      <c r="I19" t="s">
        <v>49</v>
      </c>
      <c r="J19" t="s">
        <v>44</v>
      </c>
      <c r="K19" t="s">
        <v>39</v>
      </c>
    </row>
    <row r="20" spans="1:11" x14ac:dyDescent="0.2">
      <c r="A20" t="s">
        <v>60</v>
      </c>
      <c r="B20">
        <v>24</v>
      </c>
      <c r="C20" t="s">
        <v>50</v>
      </c>
      <c r="D20" t="s">
        <v>12</v>
      </c>
      <c r="E20">
        <v>0.14199999999999999</v>
      </c>
      <c r="G20" t="s">
        <v>59</v>
      </c>
      <c r="H20" t="s">
        <v>52</v>
      </c>
      <c r="I20" t="s">
        <v>48</v>
      </c>
      <c r="J20" t="s">
        <v>49</v>
      </c>
      <c r="K20" t="s">
        <v>44</v>
      </c>
    </row>
    <row r="21" spans="1:11" x14ac:dyDescent="0.2">
      <c r="A21" t="s">
        <v>61</v>
      </c>
      <c r="B21">
        <v>28</v>
      </c>
      <c r="C21">
        <v>4</v>
      </c>
      <c r="D21" t="s">
        <v>62</v>
      </c>
      <c r="E21">
        <v>0.11</v>
      </c>
      <c r="G21" t="s">
        <v>59</v>
      </c>
      <c r="H21" t="s">
        <v>52</v>
      </c>
      <c r="I21" t="s">
        <v>48</v>
      </c>
      <c r="J21" t="s">
        <v>49</v>
      </c>
      <c r="K21" t="s">
        <v>44</v>
      </c>
    </row>
    <row r="22" spans="1:11" x14ac:dyDescent="0.2">
      <c r="A22" t="s">
        <v>63</v>
      </c>
      <c r="B22">
        <v>26</v>
      </c>
      <c r="C22" t="s">
        <v>50</v>
      </c>
      <c r="D22" t="s">
        <v>51</v>
      </c>
      <c r="E22">
        <v>3.4000000000000002E-2</v>
      </c>
      <c r="G22" t="s">
        <v>59</v>
      </c>
      <c r="H22" t="s">
        <v>52</v>
      </c>
      <c r="I22" t="s">
        <v>48</v>
      </c>
      <c r="J22" t="s">
        <v>49</v>
      </c>
      <c r="K22" t="s">
        <v>44</v>
      </c>
    </row>
    <row r="23" spans="1:11" x14ac:dyDescent="0.2">
      <c r="B23">
        <f>AVERAGE(B2:B22)</f>
        <v>29.80952380952381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3E9F-B31A-5E49-A0D2-D000F99E3CC8}">
  <dimension ref="A1:AK14"/>
  <sheetViews>
    <sheetView tabSelected="1" workbookViewId="0">
      <pane xSplit="1" topLeftCell="AF1" activePane="topRight" state="frozen"/>
      <selection pane="topRight" activeCell="AK13" sqref="AK13"/>
    </sheetView>
  </sheetViews>
  <sheetFormatPr baseColWidth="10" defaultRowHeight="16" x14ac:dyDescent="0.2"/>
  <cols>
    <col min="1" max="1" width="14.1640625" bestFit="1" customWidth="1"/>
    <col min="34" max="34" width="4.5" bestFit="1" customWidth="1"/>
    <col min="35" max="35" width="12" bestFit="1" customWidth="1"/>
    <col min="36" max="36" width="13.1640625" bestFit="1" customWidth="1"/>
  </cols>
  <sheetData>
    <row r="1" spans="1:37" x14ac:dyDescent="0.2">
      <c r="A1" t="s">
        <v>64</v>
      </c>
      <c r="B1" t="s">
        <v>1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102</v>
      </c>
      <c r="AJ1" t="s">
        <v>103</v>
      </c>
      <c r="AK1" t="s">
        <v>110</v>
      </c>
    </row>
    <row r="2" spans="1:37" x14ac:dyDescent="0.2">
      <c r="A2" t="s">
        <v>97</v>
      </c>
      <c r="B2">
        <v>28</v>
      </c>
      <c r="C2">
        <v>2020</v>
      </c>
      <c r="D2">
        <v>2025</v>
      </c>
      <c r="E2">
        <v>19</v>
      </c>
      <c r="F2">
        <v>36</v>
      </c>
      <c r="G2">
        <v>0.34499999999999997</v>
      </c>
      <c r="H2">
        <v>4.1399999999999997</v>
      </c>
      <c r="I2">
        <v>117</v>
      </c>
      <c r="J2">
        <v>80</v>
      </c>
      <c r="K2">
        <v>11</v>
      </c>
      <c r="L2">
        <v>0</v>
      </c>
      <c r="M2">
        <v>0</v>
      </c>
      <c r="N2">
        <v>1</v>
      </c>
      <c r="O2">
        <v>471.2</v>
      </c>
      <c r="P2">
        <v>472</v>
      </c>
      <c r="Q2">
        <v>240</v>
      </c>
      <c r="R2">
        <v>217</v>
      </c>
      <c r="S2">
        <v>57</v>
      </c>
      <c r="T2">
        <v>190</v>
      </c>
      <c r="U2">
        <v>5</v>
      </c>
      <c r="V2">
        <v>444</v>
      </c>
      <c r="W2">
        <v>17</v>
      </c>
      <c r="X2">
        <v>2</v>
      </c>
      <c r="Y2">
        <v>7</v>
      </c>
      <c r="Z2">
        <v>2030</v>
      </c>
      <c r="AA2">
        <v>695</v>
      </c>
      <c r="AB2">
        <v>104</v>
      </c>
      <c r="AC2">
        <v>4.16</v>
      </c>
      <c r="AD2">
        <v>1.4039999999999999</v>
      </c>
      <c r="AE2">
        <v>9</v>
      </c>
      <c r="AF2">
        <v>1.1000000000000001</v>
      </c>
      <c r="AG2">
        <v>3.6</v>
      </c>
      <c r="AH2">
        <v>8.5</v>
      </c>
      <c r="AI2">
        <v>3</v>
      </c>
      <c r="AJ2" t="s">
        <v>109</v>
      </c>
      <c r="AK2">
        <v>5.6</v>
      </c>
    </row>
    <row r="3" spans="1:37" x14ac:dyDescent="0.2">
      <c r="A3" t="s">
        <v>42</v>
      </c>
      <c r="B3">
        <v>28</v>
      </c>
      <c r="C3">
        <v>2021</v>
      </c>
      <c r="D3">
        <v>2025</v>
      </c>
      <c r="E3">
        <v>25</v>
      </c>
      <c r="F3">
        <v>29</v>
      </c>
      <c r="G3">
        <v>0.46300000000000002</v>
      </c>
      <c r="H3">
        <v>4.07</v>
      </c>
      <c r="I3">
        <v>89</v>
      </c>
      <c r="J3">
        <v>87</v>
      </c>
      <c r="K3">
        <v>0</v>
      </c>
      <c r="L3">
        <v>0</v>
      </c>
      <c r="M3">
        <v>0</v>
      </c>
      <c r="N3">
        <v>0</v>
      </c>
      <c r="O3">
        <v>431.2</v>
      </c>
      <c r="P3">
        <v>349</v>
      </c>
      <c r="Q3">
        <v>212</v>
      </c>
      <c r="R3">
        <v>195</v>
      </c>
      <c r="S3">
        <v>59</v>
      </c>
      <c r="T3">
        <v>216</v>
      </c>
      <c r="U3">
        <v>0</v>
      </c>
      <c r="V3">
        <v>478</v>
      </c>
      <c r="W3">
        <v>32</v>
      </c>
      <c r="X3">
        <v>4</v>
      </c>
      <c r="Y3">
        <v>15</v>
      </c>
      <c r="Z3">
        <v>1844</v>
      </c>
      <c r="AA3">
        <v>608</v>
      </c>
      <c r="AB3">
        <v>108</v>
      </c>
      <c r="AC3">
        <v>4.45</v>
      </c>
      <c r="AD3">
        <v>1.3089999999999999</v>
      </c>
      <c r="AE3">
        <v>7.3</v>
      </c>
      <c r="AF3">
        <v>1.2</v>
      </c>
      <c r="AG3">
        <v>4.5</v>
      </c>
      <c r="AH3">
        <v>10</v>
      </c>
      <c r="AI3">
        <v>4.45</v>
      </c>
      <c r="AJ3" t="s">
        <v>104</v>
      </c>
      <c r="AK3">
        <v>7.2</v>
      </c>
    </row>
    <row r="4" spans="1:37" x14ac:dyDescent="0.2">
      <c r="A4" t="s">
        <v>98</v>
      </c>
      <c r="B4">
        <v>28</v>
      </c>
      <c r="C4">
        <v>2019</v>
      </c>
      <c r="D4">
        <v>2025</v>
      </c>
      <c r="E4">
        <v>41</v>
      </c>
      <c r="F4">
        <v>41</v>
      </c>
      <c r="G4">
        <v>0.5</v>
      </c>
      <c r="H4">
        <v>4.1900000000000004</v>
      </c>
      <c r="I4">
        <v>137</v>
      </c>
      <c r="J4">
        <v>121</v>
      </c>
      <c r="K4">
        <v>4</v>
      </c>
      <c r="L4">
        <v>0</v>
      </c>
      <c r="M4">
        <v>0</v>
      </c>
      <c r="N4">
        <v>2</v>
      </c>
      <c r="O4">
        <v>695.2</v>
      </c>
      <c r="P4">
        <v>628</v>
      </c>
      <c r="Q4">
        <v>343</v>
      </c>
      <c r="R4">
        <v>324</v>
      </c>
      <c r="S4">
        <v>87</v>
      </c>
      <c r="T4">
        <v>237</v>
      </c>
      <c r="U4">
        <v>3</v>
      </c>
      <c r="V4">
        <v>775</v>
      </c>
      <c r="W4">
        <v>21</v>
      </c>
      <c r="X4">
        <v>3</v>
      </c>
      <c r="Y4">
        <v>30</v>
      </c>
      <c r="Z4">
        <v>2904</v>
      </c>
      <c r="AA4">
        <v>912</v>
      </c>
      <c r="AB4">
        <v>104</v>
      </c>
      <c r="AC4">
        <v>3.69</v>
      </c>
      <c r="AD4">
        <v>1.2430000000000001</v>
      </c>
      <c r="AE4">
        <v>8.1</v>
      </c>
      <c r="AF4">
        <v>1.1000000000000001</v>
      </c>
      <c r="AG4">
        <v>3.1</v>
      </c>
      <c r="AH4">
        <v>10</v>
      </c>
      <c r="AI4">
        <v>11</v>
      </c>
      <c r="AJ4" t="s">
        <v>105</v>
      </c>
      <c r="AK4">
        <v>11.4</v>
      </c>
    </row>
    <row r="5" spans="1:37" x14ac:dyDescent="0.2">
      <c r="A5" t="s">
        <v>99</v>
      </c>
      <c r="B5">
        <v>28</v>
      </c>
      <c r="C5">
        <v>2019</v>
      </c>
      <c r="D5">
        <v>2025</v>
      </c>
      <c r="E5">
        <v>19</v>
      </c>
      <c r="F5">
        <v>20</v>
      </c>
      <c r="G5">
        <v>0.48699999999999999</v>
      </c>
      <c r="H5">
        <v>3.86</v>
      </c>
      <c r="I5">
        <v>71</v>
      </c>
      <c r="J5">
        <v>57</v>
      </c>
      <c r="K5">
        <v>1</v>
      </c>
      <c r="L5">
        <v>0</v>
      </c>
      <c r="M5">
        <v>0</v>
      </c>
      <c r="N5">
        <v>0</v>
      </c>
      <c r="O5">
        <v>324</v>
      </c>
      <c r="P5">
        <v>276</v>
      </c>
      <c r="Q5">
        <v>152</v>
      </c>
      <c r="R5">
        <v>139</v>
      </c>
      <c r="S5">
        <v>40</v>
      </c>
      <c r="T5">
        <v>113</v>
      </c>
      <c r="U5">
        <v>3</v>
      </c>
      <c r="V5">
        <v>297</v>
      </c>
      <c r="W5">
        <v>25</v>
      </c>
      <c r="X5">
        <v>0</v>
      </c>
      <c r="Y5">
        <v>4</v>
      </c>
      <c r="Z5">
        <v>1356</v>
      </c>
      <c r="AA5">
        <v>428</v>
      </c>
      <c r="AB5">
        <v>109</v>
      </c>
      <c r="AC5">
        <v>4.22</v>
      </c>
      <c r="AD5">
        <v>1.2010000000000001</v>
      </c>
      <c r="AE5">
        <v>7.7</v>
      </c>
      <c r="AF5">
        <v>1.1000000000000001</v>
      </c>
      <c r="AG5">
        <v>3.1</v>
      </c>
      <c r="AH5">
        <v>8.3000000000000007</v>
      </c>
      <c r="AI5">
        <v>12.5</v>
      </c>
      <c r="AJ5" t="s">
        <v>106</v>
      </c>
      <c r="AK5">
        <v>2.5</v>
      </c>
    </row>
    <row r="6" spans="1:37" x14ac:dyDescent="0.2">
      <c r="A6" t="s">
        <v>100</v>
      </c>
      <c r="B6">
        <v>28</v>
      </c>
      <c r="C6">
        <v>2020</v>
      </c>
      <c r="D6">
        <v>2025</v>
      </c>
      <c r="E6">
        <v>24</v>
      </c>
      <c r="F6">
        <v>37</v>
      </c>
      <c r="G6">
        <v>0.39300000000000002</v>
      </c>
      <c r="H6">
        <v>3.83</v>
      </c>
      <c r="I6">
        <v>102</v>
      </c>
      <c r="J6">
        <v>102</v>
      </c>
      <c r="K6">
        <v>0</v>
      </c>
      <c r="L6">
        <v>1</v>
      </c>
      <c r="M6">
        <v>0</v>
      </c>
      <c r="N6">
        <v>0</v>
      </c>
      <c r="O6">
        <v>520</v>
      </c>
      <c r="P6">
        <v>481</v>
      </c>
      <c r="Q6">
        <v>241</v>
      </c>
      <c r="R6">
        <v>221</v>
      </c>
      <c r="S6">
        <v>48</v>
      </c>
      <c r="T6">
        <v>195</v>
      </c>
      <c r="U6">
        <v>4</v>
      </c>
      <c r="V6">
        <v>521</v>
      </c>
      <c r="W6">
        <v>21</v>
      </c>
      <c r="X6">
        <v>4</v>
      </c>
      <c r="Y6">
        <v>10</v>
      </c>
      <c r="Z6">
        <v>2221</v>
      </c>
      <c r="AA6">
        <v>713</v>
      </c>
      <c r="AB6">
        <v>110</v>
      </c>
      <c r="AC6">
        <v>3.6</v>
      </c>
      <c r="AD6">
        <v>1.3</v>
      </c>
      <c r="AE6">
        <v>8.3000000000000007</v>
      </c>
      <c r="AF6">
        <v>0.8</v>
      </c>
      <c r="AG6">
        <v>3.4</v>
      </c>
      <c r="AH6">
        <v>9</v>
      </c>
      <c r="AI6">
        <v>6.2</v>
      </c>
      <c r="AJ6" t="s">
        <v>107</v>
      </c>
      <c r="AK6">
        <v>9.4</v>
      </c>
    </row>
    <row r="7" spans="1:37" x14ac:dyDescent="0.2">
      <c r="A7" t="s">
        <v>101</v>
      </c>
      <c r="B7">
        <v>28</v>
      </c>
      <c r="C7">
        <v>2018</v>
      </c>
      <c r="D7">
        <v>2025</v>
      </c>
      <c r="E7">
        <v>20</v>
      </c>
      <c r="F7">
        <v>26</v>
      </c>
      <c r="G7">
        <v>0.435</v>
      </c>
      <c r="H7">
        <v>3.85</v>
      </c>
      <c r="I7">
        <v>91</v>
      </c>
      <c r="J7">
        <v>69</v>
      </c>
      <c r="K7">
        <v>8</v>
      </c>
      <c r="L7">
        <v>0</v>
      </c>
      <c r="M7">
        <v>0</v>
      </c>
      <c r="N7">
        <v>0</v>
      </c>
      <c r="O7">
        <v>415.2</v>
      </c>
      <c r="P7">
        <v>368</v>
      </c>
      <c r="Q7">
        <v>198</v>
      </c>
      <c r="R7">
        <v>178</v>
      </c>
      <c r="S7">
        <v>49</v>
      </c>
      <c r="T7">
        <v>140</v>
      </c>
      <c r="U7">
        <v>2</v>
      </c>
      <c r="V7">
        <v>379</v>
      </c>
      <c r="W7">
        <v>30</v>
      </c>
      <c r="X7">
        <v>3</v>
      </c>
      <c r="Y7">
        <v>12</v>
      </c>
      <c r="Z7">
        <v>1742</v>
      </c>
      <c r="AA7">
        <v>548</v>
      </c>
      <c r="AB7">
        <v>113</v>
      </c>
      <c r="AC7">
        <v>4.12</v>
      </c>
      <c r="AD7">
        <v>1.222</v>
      </c>
      <c r="AE7">
        <v>8</v>
      </c>
      <c r="AF7">
        <v>1.1000000000000001</v>
      </c>
      <c r="AG7">
        <v>3</v>
      </c>
      <c r="AH7">
        <v>8.1999999999999993</v>
      </c>
      <c r="AI7">
        <v>7.5</v>
      </c>
      <c r="AJ7" t="s">
        <v>108</v>
      </c>
      <c r="AK7">
        <v>6.8</v>
      </c>
    </row>
    <row r="8" spans="1:37" x14ac:dyDescent="0.2">
      <c r="A8" t="s">
        <v>40</v>
      </c>
      <c r="B8">
        <v>30</v>
      </c>
      <c r="C8">
        <v>2021</v>
      </c>
      <c r="D8">
        <v>2025</v>
      </c>
      <c r="E8">
        <v>32</v>
      </c>
      <c r="F8">
        <v>22</v>
      </c>
      <c r="G8">
        <v>0.59299999999999997</v>
      </c>
      <c r="H8">
        <v>3.3</v>
      </c>
      <c r="I8">
        <v>102</v>
      </c>
      <c r="J8">
        <v>91</v>
      </c>
      <c r="K8">
        <v>2</v>
      </c>
      <c r="L8">
        <v>1</v>
      </c>
      <c r="M8">
        <v>0</v>
      </c>
      <c r="N8">
        <v>0</v>
      </c>
      <c r="O8">
        <v>506.2</v>
      </c>
      <c r="P8">
        <v>460</v>
      </c>
      <c r="Q8">
        <v>219</v>
      </c>
      <c r="R8">
        <v>186</v>
      </c>
      <c r="S8">
        <v>51</v>
      </c>
      <c r="T8">
        <v>155</v>
      </c>
      <c r="U8">
        <v>2</v>
      </c>
      <c r="V8">
        <v>517</v>
      </c>
      <c r="W8">
        <v>20</v>
      </c>
      <c r="X8">
        <v>2</v>
      </c>
      <c r="Y8">
        <v>14</v>
      </c>
      <c r="Z8">
        <v>2123</v>
      </c>
      <c r="AA8">
        <v>656</v>
      </c>
      <c r="AB8">
        <v>126</v>
      </c>
      <c r="AC8">
        <v>3.49</v>
      </c>
      <c r="AD8">
        <v>1.214</v>
      </c>
      <c r="AE8">
        <v>8.1999999999999993</v>
      </c>
      <c r="AF8">
        <v>0.9</v>
      </c>
      <c r="AG8">
        <v>2.8</v>
      </c>
      <c r="AH8">
        <v>9.1999999999999993</v>
      </c>
      <c r="AI8">
        <v>6.7750000000000004</v>
      </c>
      <c r="AJ8" t="s">
        <v>104</v>
      </c>
      <c r="AK8">
        <v>7.9</v>
      </c>
    </row>
    <row r="9" spans="1:37" x14ac:dyDescent="0.2">
      <c r="A9" t="s">
        <v>45</v>
      </c>
      <c r="B9">
        <v>28</v>
      </c>
      <c r="C9">
        <v>2022</v>
      </c>
      <c r="D9">
        <v>2025</v>
      </c>
      <c r="E9">
        <v>18</v>
      </c>
      <c r="F9">
        <v>12</v>
      </c>
      <c r="G9">
        <v>0.6</v>
      </c>
      <c r="H9">
        <v>3.43</v>
      </c>
      <c r="I9">
        <v>78</v>
      </c>
      <c r="J9">
        <v>54</v>
      </c>
      <c r="K9">
        <v>9</v>
      </c>
      <c r="L9">
        <v>0</v>
      </c>
      <c r="M9">
        <v>0</v>
      </c>
      <c r="N9">
        <v>0</v>
      </c>
      <c r="O9">
        <v>331</v>
      </c>
      <c r="P9">
        <v>304</v>
      </c>
      <c r="Q9">
        <v>131</v>
      </c>
      <c r="R9">
        <v>126</v>
      </c>
      <c r="S9">
        <v>40</v>
      </c>
      <c r="T9">
        <v>136</v>
      </c>
      <c r="U9">
        <v>1</v>
      </c>
      <c r="V9">
        <v>271</v>
      </c>
      <c r="W9">
        <v>12</v>
      </c>
      <c r="X9">
        <v>1</v>
      </c>
      <c r="Y9">
        <v>10</v>
      </c>
      <c r="Z9">
        <v>1406</v>
      </c>
      <c r="AA9">
        <v>461</v>
      </c>
      <c r="AB9">
        <v>119</v>
      </c>
      <c r="AC9">
        <v>4.46</v>
      </c>
      <c r="AD9">
        <v>1.329</v>
      </c>
      <c r="AE9">
        <v>8.3000000000000007</v>
      </c>
      <c r="AF9">
        <v>1.1000000000000001</v>
      </c>
      <c r="AG9">
        <v>3.7</v>
      </c>
      <c r="AH9">
        <v>7.4</v>
      </c>
      <c r="AI9">
        <v>1.8</v>
      </c>
      <c r="AJ9" t="s">
        <v>104</v>
      </c>
      <c r="AK9">
        <v>5.0999999999999996</v>
      </c>
    </row>
    <row r="10" spans="1:37" x14ac:dyDescent="0.2">
      <c r="A10" t="s">
        <v>13</v>
      </c>
      <c r="B10">
        <v>35</v>
      </c>
      <c r="C10">
        <v>2015</v>
      </c>
      <c r="D10">
        <v>2025</v>
      </c>
      <c r="E10">
        <v>60</v>
      </c>
      <c r="F10">
        <v>77</v>
      </c>
      <c r="G10">
        <v>0.438</v>
      </c>
      <c r="H10">
        <v>4.57</v>
      </c>
      <c r="I10">
        <v>213</v>
      </c>
      <c r="J10">
        <v>199</v>
      </c>
      <c r="K10">
        <v>2</v>
      </c>
      <c r="L10">
        <v>2</v>
      </c>
      <c r="M10">
        <v>1</v>
      </c>
      <c r="N10">
        <v>0</v>
      </c>
      <c r="O10">
        <v>1088</v>
      </c>
      <c r="P10">
        <v>1053</v>
      </c>
      <c r="Q10">
        <v>589</v>
      </c>
      <c r="R10">
        <v>553</v>
      </c>
      <c r="S10">
        <v>176</v>
      </c>
      <c r="T10">
        <v>336</v>
      </c>
      <c r="U10">
        <v>7</v>
      </c>
      <c r="V10">
        <v>1045</v>
      </c>
      <c r="W10">
        <v>53</v>
      </c>
      <c r="X10">
        <v>7</v>
      </c>
      <c r="Y10">
        <v>32</v>
      </c>
      <c r="Z10">
        <v>4614</v>
      </c>
      <c r="AA10">
        <v>1473</v>
      </c>
      <c r="AB10">
        <v>95</v>
      </c>
      <c r="AC10">
        <v>4.43</v>
      </c>
      <c r="AD10">
        <v>1.2769999999999999</v>
      </c>
      <c r="AE10">
        <v>8.6999999999999993</v>
      </c>
      <c r="AF10">
        <v>1.5</v>
      </c>
      <c r="AG10">
        <v>2.8</v>
      </c>
      <c r="AH10">
        <v>8.6</v>
      </c>
      <c r="AI10">
        <v>17</v>
      </c>
      <c r="AJ10" t="s">
        <v>104</v>
      </c>
      <c r="AK10">
        <v>12.4</v>
      </c>
    </row>
    <row r="11" spans="1:37" x14ac:dyDescent="0.2">
      <c r="A11" t="s">
        <v>60</v>
      </c>
      <c r="B11">
        <v>24</v>
      </c>
      <c r="C11">
        <v>2025</v>
      </c>
      <c r="D11">
        <v>2025</v>
      </c>
      <c r="E11">
        <v>11</v>
      </c>
      <c r="F11">
        <v>4</v>
      </c>
      <c r="G11">
        <v>0.73299999999999998</v>
      </c>
      <c r="H11">
        <v>2.67</v>
      </c>
      <c r="I11">
        <v>23</v>
      </c>
      <c r="J11">
        <v>22</v>
      </c>
      <c r="K11">
        <v>0</v>
      </c>
      <c r="L11">
        <v>0</v>
      </c>
      <c r="M11">
        <v>0</v>
      </c>
      <c r="N11">
        <v>0</v>
      </c>
      <c r="O11">
        <v>118</v>
      </c>
      <c r="P11">
        <v>95</v>
      </c>
      <c r="Q11">
        <v>40</v>
      </c>
      <c r="R11">
        <v>35</v>
      </c>
      <c r="S11">
        <v>10</v>
      </c>
      <c r="T11">
        <v>33</v>
      </c>
      <c r="U11">
        <v>0</v>
      </c>
      <c r="V11">
        <v>97</v>
      </c>
      <c r="W11">
        <v>6</v>
      </c>
      <c r="X11">
        <v>0</v>
      </c>
      <c r="Y11">
        <v>1</v>
      </c>
      <c r="Z11">
        <v>476</v>
      </c>
      <c r="AA11">
        <v>138</v>
      </c>
      <c r="AB11">
        <v>144</v>
      </c>
      <c r="AC11">
        <v>3.58</v>
      </c>
      <c r="AD11">
        <v>1.085</v>
      </c>
      <c r="AE11">
        <v>7.2</v>
      </c>
      <c r="AF11">
        <v>0.8</v>
      </c>
      <c r="AG11">
        <v>2.5</v>
      </c>
      <c r="AH11">
        <v>7.4</v>
      </c>
      <c r="AI11">
        <v>0.8</v>
      </c>
      <c r="AJ11" t="s">
        <v>104</v>
      </c>
      <c r="AK11">
        <v>2</v>
      </c>
    </row>
    <row r="12" spans="1:37" x14ac:dyDescent="0.2">
      <c r="A12" t="s">
        <v>17</v>
      </c>
      <c r="B12">
        <v>32</v>
      </c>
      <c r="C12">
        <v>2024</v>
      </c>
      <c r="D12">
        <v>2025</v>
      </c>
      <c r="E12">
        <v>24</v>
      </c>
      <c r="F12">
        <v>11</v>
      </c>
      <c r="G12">
        <v>0.68600000000000005</v>
      </c>
      <c r="H12">
        <v>3.28</v>
      </c>
      <c r="I12">
        <v>54</v>
      </c>
      <c r="J12">
        <v>54</v>
      </c>
      <c r="K12">
        <v>0</v>
      </c>
      <c r="L12">
        <v>0</v>
      </c>
      <c r="M12">
        <v>0</v>
      </c>
      <c r="N12">
        <v>0</v>
      </c>
      <c r="O12">
        <v>318</v>
      </c>
      <c r="P12">
        <v>266</v>
      </c>
      <c r="Q12">
        <v>128</v>
      </c>
      <c r="R12">
        <v>116</v>
      </c>
      <c r="S12">
        <v>58</v>
      </c>
      <c r="T12">
        <v>54</v>
      </c>
      <c r="U12">
        <v>0</v>
      </c>
      <c r="V12">
        <v>291</v>
      </c>
      <c r="W12">
        <v>4</v>
      </c>
      <c r="X12">
        <v>0</v>
      </c>
      <c r="Y12">
        <v>4</v>
      </c>
      <c r="Z12">
        <v>1261</v>
      </c>
      <c r="AA12">
        <v>334</v>
      </c>
      <c r="AB12">
        <v>119</v>
      </c>
      <c r="AC12">
        <v>4.24</v>
      </c>
      <c r="AD12">
        <v>1.006</v>
      </c>
      <c r="AE12">
        <v>7.5</v>
      </c>
      <c r="AF12">
        <v>1.6</v>
      </c>
      <c r="AG12">
        <v>1.5</v>
      </c>
      <c r="AH12">
        <v>8.1999999999999993</v>
      </c>
      <c r="AI12">
        <v>22.02</v>
      </c>
      <c r="AJ12" t="s">
        <v>104</v>
      </c>
      <c r="AK12">
        <v>4.5</v>
      </c>
    </row>
    <row r="13" spans="1:37" x14ac:dyDescent="0.2">
      <c r="A13" t="s">
        <v>38</v>
      </c>
      <c r="B13">
        <v>35</v>
      </c>
      <c r="C13">
        <v>2015</v>
      </c>
      <c r="D13">
        <v>2025</v>
      </c>
      <c r="E13">
        <v>37</v>
      </c>
      <c r="F13">
        <v>27</v>
      </c>
      <c r="G13">
        <v>0.57799999999999996</v>
      </c>
      <c r="H13">
        <v>4.41</v>
      </c>
      <c r="I13">
        <v>126</v>
      </c>
      <c r="J13">
        <v>103</v>
      </c>
      <c r="K13">
        <v>9</v>
      </c>
      <c r="L13">
        <v>0</v>
      </c>
      <c r="M13">
        <v>0</v>
      </c>
      <c r="N13">
        <v>2</v>
      </c>
      <c r="O13">
        <v>606</v>
      </c>
      <c r="P13">
        <v>587</v>
      </c>
      <c r="Q13">
        <v>314</v>
      </c>
      <c r="R13">
        <v>297</v>
      </c>
      <c r="S13">
        <v>91</v>
      </c>
      <c r="T13">
        <v>182</v>
      </c>
      <c r="U13">
        <v>5</v>
      </c>
      <c r="V13">
        <v>493</v>
      </c>
      <c r="W13">
        <v>29</v>
      </c>
      <c r="X13">
        <v>2</v>
      </c>
      <c r="Y13">
        <v>6</v>
      </c>
      <c r="Z13">
        <v>2566</v>
      </c>
      <c r="AA13">
        <v>821</v>
      </c>
      <c r="AB13">
        <v>92</v>
      </c>
      <c r="AC13">
        <v>4.54</v>
      </c>
      <c r="AD13">
        <v>1.2689999999999999</v>
      </c>
      <c r="AE13">
        <v>8.6999999999999993</v>
      </c>
      <c r="AF13">
        <v>1.4</v>
      </c>
      <c r="AG13">
        <v>2.7</v>
      </c>
      <c r="AH13">
        <v>7.3</v>
      </c>
      <c r="AI13">
        <v>5.5</v>
      </c>
      <c r="AJ13" t="s">
        <v>104</v>
      </c>
      <c r="AK13">
        <v>1.9</v>
      </c>
    </row>
    <row r="14" spans="1:37" x14ac:dyDescent="0.2">
      <c r="A14" t="s">
        <v>9</v>
      </c>
      <c r="B14">
        <v>34</v>
      </c>
      <c r="C14">
        <v>2016</v>
      </c>
      <c r="D14">
        <v>2025</v>
      </c>
      <c r="E14">
        <v>82</v>
      </c>
      <c r="F14">
        <v>60</v>
      </c>
      <c r="G14">
        <v>0.57699999999999996</v>
      </c>
      <c r="H14">
        <v>3.87</v>
      </c>
      <c r="I14">
        <v>224</v>
      </c>
      <c r="J14">
        <v>223</v>
      </c>
      <c r="K14">
        <v>1</v>
      </c>
      <c r="L14">
        <v>3</v>
      </c>
      <c r="M14">
        <v>1</v>
      </c>
      <c r="N14">
        <v>1</v>
      </c>
      <c r="O14">
        <v>1237</v>
      </c>
      <c r="P14">
        <v>1182</v>
      </c>
      <c r="Q14">
        <v>570</v>
      </c>
      <c r="R14">
        <v>532</v>
      </c>
      <c r="S14">
        <v>170</v>
      </c>
      <c r="T14">
        <v>294</v>
      </c>
      <c r="U14">
        <v>10</v>
      </c>
      <c r="V14">
        <v>1073</v>
      </c>
      <c r="W14">
        <v>32</v>
      </c>
      <c r="X14">
        <v>4</v>
      </c>
      <c r="Y14">
        <v>25</v>
      </c>
      <c r="Z14">
        <v>5128</v>
      </c>
      <c r="AA14">
        <v>1545</v>
      </c>
      <c r="AB14">
        <v>105</v>
      </c>
      <c r="AC14">
        <v>4.01</v>
      </c>
      <c r="AD14">
        <v>1.1930000000000001</v>
      </c>
      <c r="AE14">
        <v>8.6</v>
      </c>
      <c r="AF14">
        <v>1.2</v>
      </c>
      <c r="AG14">
        <v>2.1</v>
      </c>
      <c r="AH14">
        <v>7.8</v>
      </c>
      <c r="AI14">
        <v>18</v>
      </c>
      <c r="AJ14" t="s">
        <v>104</v>
      </c>
      <c r="AK14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CURRENT_ROSTER</vt:lpstr>
      <vt:lpstr>FREE_AGENTS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Marietta</dc:creator>
  <cp:lastModifiedBy>Ashley Marietta</cp:lastModifiedBy>
  <dcterms:created xsi:type="dcterms:W3CDTF">2026-01-31T18:05:00Z</dcterms:created>
  <dcterms:modified xsi:type="dcterms:W3CDTF">2026-01-31T21:23:11Z</dcterms:modified>
</cp:coreProperties>
</file>